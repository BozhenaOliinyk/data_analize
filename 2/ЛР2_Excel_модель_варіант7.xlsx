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ni\3\Data_analyze\2\"/>
    </mc:Choice>
  </mc:AlternateContent>
  <xr:revisionPtr revIDLastSave="0" documentId="13_ncr:1_{7D6B8EB3-5400-49A6-9711-6F741F699C71}" xr6:coauthVersionLast="37" xr6:coauthVersionMax="37" xr10:uidLastSave="{00000000-0000-0000-0000-000000000000}"/>
  <bookViews>
    <workbookView xWindow="0" yWindow="0" windowWidth="23040" windowHeight="8940" tabRatio="500" xr2:uid="{00000000-000D-0000-FFFF-FFFF00000000}"/>
  </bookViews>
  <sheets>
    <sheet name="Звіт про стійкість 1" sheetId="3" r:id="rId1"/>
    <sheet name="Модель" sheetId="1" r:id="rId2"/>
  </sheets>
  <definedNames>
    <definedName name="solver_adj" localSheetId="1" hidden="1">Модель!$B$12:$E$12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Модель!$B$16:$B$20</definedName>
    <definedName name="solver_lhs2" localSheetId="1" hidden="1">Модель!$B$6:$E$6</definedName>
    <definedName name="solver_lhs3" localSheetId="1" hidden="1">Модель!$B$6:$E$6</definedName>
    <definedName name="solver_lhs4" localSheetId="1" hidden="1">Модель!$B$7:$E$7</definedName>
    <definedName name="solver_lhs5" localSheetId="1" hidden="1">Модель!$B$7:$E$7</definedName>
    <definedName name="solver_lhs6" localSheetId="1" hidden="1">Модель!$B$7:$E$7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</definedName>
    <definedName name="solver_nwt" localSheetId="1" hidden="1">1</definedName>
    <definedName name="solver_opt" localSheetId="1" hidden="1">Модель!$B$23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2" localSheetId="1" hidden="1">1</definedName>
    <definedName name="solver_rel3" localSheetId="1" hidden="1">1</definedName>
    <definedName name="solver_rel4" localSheetId="1" hidden="1">1</definedName>
    <definedName name="solver_rel5" localSheetId="1" hidden="1">1</definedName>
    <definedName name="solver_rel6" localSheetId="1" hidden="1">1</definedName>
    <definedName name="solver_rhs1" localSheetId="1" hidden="1">Модель!$C$16:$C$20</definedName>
    <definedName name="solver_rhs2" localSheetId="1" hidden="1">Модель!$F$6</definedName>
    <definedName name="solver_rhs3" localSheetId="1" hidden="1">Модель!$F$6</definedName>
    <definedName name="solver_rhs4" localSheetId="1" hidden="1">Модель!$F$7</definedName>
    <definedName name="solver_rhs5" localSheetId="1" hidden="1">Модель!$F$7</definedName>
    <definedName name="solver_rhs6" localSheetId="1" hidden="1">Модель!$F$7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7902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3" i="1" l="1"/>
  <c r="B20" i="1" l="1"/>
  <c r="D20" i="1" s="1"/>
  <c r="B19" i="1"/>
  <c r="D19" i="1" s="1"/>
  <c r="B18" i="1"/>
  <c r="D18" i="1" s="1"/>
  <c r="B17" i="1"/>
  <c r="D17" i="1" s="1"/>
  <c r="B16" i="1"/>
  <c r="D16" i="1" s="1"/>
  <c r="C20" i="1"/>
  <c r="C19" i="1"/>
  <c r="C18" i="1"/>
  <c r="C17" i="1"/>
  <c r="C16" i="1"/>
</calcChain>
</file>

<file path=xl/sharedStrings.xml><?xml version="1.0" encoding="utf-8"?>
<sst xmlns="http://schemas.openxmlformats.org/spreadsheetml/2006/main" count="79" uniqueCount="57">
  <si>
    <t>Ресурс</t>
  </si>
  <si>
    <t>Крісло</t>
  </si>
  <si>
    <t>Стілець</t>
  </si>
  <si>
    <t>Табурет</t>
  </si>
  <si>
    <t>Лава</t>
  </si>
  <si>
    <t>Запас</t>
  </si>
  <si>
    <t>Дубовий брус, м</t>
  </si>
  <si>
    <t>Фанера, м²</t>
  </si>
  <si>
    <t>Фурнітура, компл.</t>
  </si>
  <si>
    <t>Верстат, год</t>
  </si>
  <si>
    <t>Лакування, год</t>
  </si>
  <si>
    <t>Прибуток з одиниці</t>
  </si>
  <si>
    <t>Випуск</t>
  </si>
  <si>
    <t>Витрачено</t>
  </si>
  <si>
    <t>Залишок</t>
  </si>
  <si>
    <t>Сумарний прибуток (max)</t>
  </si>
  <si>
    <t>Вхідні дані</t>
  </si>
  <si>
    <t>Змінні</t>
  </si>
  <si>
    <t>Цільова функція</t>
  </si>
  <si>
    <t>Виріб</t>
  </si>
  <si>
    <t>Витрати ресурсів</t>
  </si>
  <si>
    <t>Microsoft Excel 16.0 Звіт про стійкість</t>
  </si>
  <si>
    <t>Аркуш: [ЛР2_Excel_модель_варіант7.xlsx]Модель</t>
  </si>
  <si>
    <t>Звіт створено: 9/22/2026 1:53:16 AM</t>
  </si>
  <si>
    <t>Клітинки змінних</t>
  </si>
  <si>
    <t>Клітинка</t>
  </si>
  <si>
    <t>Назва</t>
  </si>
  <si>
    <t>Остаточне</t>
  </si>
  <si>
    <t>Значення</t>
  </si>
  <si>
    <t>Зменшена</t>
  </si>
  <si>
    <t>Вартість</t>
  </si>
  <si>
    <t>Коефіцієнт</t>
  </si>
  <si>
    <t>Припустиме</t>
  </si>
  <si>
    <t>Збільшення</t>
  </si>
  <si>
    <t>Зменшення</t>
  </si>
  <si>
    <t>Обмеження</t>
  </si>
  <si>
    <t>Тінь</t>
  </si>
  <si>
    <t>Ціна</t>
  </si>
  <si>
    <t>Права сторона</t>
  </si>
  <si>
    <t>$B$12</t>
  </si>
  <si>
    <t>Випуск Крісло</t>
  </si>
  <si>
    <t>$C$12</t>
  </si>
  <si>
    <t>Випуск Стілець</t>
  </si>
  <si>
    <t>$D$12</t>
  </si>
  <si>
    <t>Випуск Табурет</t>
  </si>
  <si>
    <t>$E$12</t>
  </si>
  <si>
    <t>Випуск Лава</t>
  </si>
  <si>
    <t>$B$16</t>
  </si>
  <si>
    <t>Дубовий брус, м Витрачено</t>
  </si>
  <si>
    <t>$B$17</t>
  </si>
  <si>
    <t>Фанера, м² Витрачено</t>
  </si>
  <si>
    <t>$B$18</t>
  </si>
  <si>
    <t>Фурнітура, компл. Витрачено</t>
  </si>
  <si>
    <t>$B$19</t>
  </si>
  <si>
    <t>Верстат, год Витрачено</t>
  </si>
  <si>
    <t>$B$20</t>
  </si>
  <si>
    <t>Лакування, год Витрачено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</si>
</sst>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9"/>
      <color theme="1"/>
      <name val="Consolas"/>
      <family val="3"/>
    </font>
    <font>
      <b/>
      <sz val="11"/>
      <color theme="1"/>
      <name val="Calibri"/>
      <family val="2"/>
    </font>
    <font>
      <b/>
      <sz val="11"/>
      <color indexed="18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E2EFDA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rgb="FF003366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rgb="FFDDEBF7"/>
      </patternFill>
    </fill>
  </fills>
  <borders count="1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3" fillId="5" borderId="1" xfId="0" applyFont="1" applyFill="1" applyBorder="1" applyAlignment="1">
      <alignment horizontal="center"/>
    </xf>
    <xf numFmtId="0" fontId="2" fillId="2" borderId="6" xfId="0" applyFont="1" applyFill="1" applyBorder="1"/>
    <xf numFmtId="0" fontId="0" fillId="0" borderId="6" xfId="0" applyBorder="1"/>
    <xf numFmtId="4" fontId="2" fillId="7" borderId="1" xfId="0" applyNumberFormat="1" applyFont="1" applyFill="1" applyBorder="1"/>
    <xf numFmtId="4" fontId="2" fillId="7" borderId="6" xfId="0" applyNumberFormat="1" applyFont="1" applyFill="1" applyBorder="1"/>
    <xf numFmtId="0" fontId="0" fillId="0" borderId="7" xfId="0" applyBorder="1"/>
    <xf numFmtId="0" fontId="3" fillId="5" borderId="4" xfId="0" applyFont="1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3" xfId="0" applyBorder="1"/>
    <xf numFmtId="0" fontId="4" fillId="0" borderId="0" xfId="0" applyFont="1"/>
    <xf numFmtId="0" fontId="5" fillId="4" borderId="4" xfId="0" applyFont="1" applyFill="1" applyBorder="1"/>
    <xf numFmtId="0" fontId="6" fillId="6" borderId="7" xfId="0" applyFont="1" applyFill="1" applyBorder="1"/>
    <xf numFmtId="0" fontId="6" fillId="6" borderId="4" xfId="0" applyFont="1" applyFill="1" applyBorder="1"/>
    <xf numFmtId="0" fontId="6" fillId="6" borderId="1" xfId="0" applyFont="1" applyFill="1" applyBorder="1"/>
    <xf numFmtId="0" fontId="5" fillId="4" borderId="1" xfId="0" applyFont="1" applyFill="1" applyBorder="1"/>
    <xf numFmtId="0" fontId="7" fillId="6" borderId="1" xfId="0" applyFont="1" applyFill="1" applyBorder="1"/>
    <xf numFmtId="0" fontId="3" fillId="5" borderId="6" xfId="0" applyFont="1" applyFill="1" applyBorder="1" applyAlignment="1">
      <alignment horizontal="center"/>
    </xf>
    <xf numFmtId="0" fontId="0" fillId="3" borderId="6" xfId="0" applyFill="1" applyBorder="1"/>
    <xf numFmtId="0" fontId="6" fillId="6" borderId="6" xfId="0" applyFont="1" applyFill="1" applyBorder="1"/>
    <xf numFmtId="0" fontId="0" fillId="0" borderId="5" xfId="0" applyBorder="1"/>
    <xf numFmtId="0" fontId="8" fillId="0" borderId="0" xfId="0" applyFont="1"/>
    <xf numFmtId="0" fontId="9" fillId="0" borderId="0" xfId="0" applyFont="1"/>
    <xf numFmtId="0" fontId="0" fillId="0" borderId="10" xfId="0" applyFill="1" applyBorder="1" applyAlignment="1"/>
    <xf numFmtId="0" fontId="0" fillId="0" borderId="11" xfId="0" applyFill="1" applyBorder="1" applyAlignment="1"/>
    <xf numFmtId="0" fontId="10" fillId="0" borderId="8" xfId="0" applyFont="1" applyFill="1" applyBorder="1" applyAlignment="1">
      <alignment horizontal="center"/>
    </xf>
    <xf numFmtId="0" fontId="10" fillId="0" borderId="9" xfId="0" applyFont="1" applyFill="1" applyBorder="1" applyAlignment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99DF2-3FE0-4A0A-9BCE-EEA3BAE767DC}">
  <dimension ref="A1:H21"/>
  <sheetViews>
    <sheetView showGridLines="0" tabSelected="1" topLeftCell="B2" workbookViewId="0">
      <selection activeCell="G20" sqref="G20"/>
    </sheetView>
  </sheetViews>
  <sheetFormatPr defaultRowHeight="14.4" x14ac:dyDescent="0.3"/>
  <cols>
    <col min="1" max="1" width="2.33203125" customWidth="1"/>
    <col min="2" max="2" width="8.5546875" bestFit="1" customWidth="1"/>
    <col min="3" max="3" width="26.33203125" bestFit="1" customWidth="1"/>
    <col min="4" max="5" width="12" bestFit="1" customWidth="1"/>
    <col min="6" max="6" width="15.44140625" bestFit="1" customWidth="1"/>
    <col min="7" max="8" width="12" bestFit="1" customWidth="1"/>
  </cols>
  <sheetData>
    <row r="1" spans="1:8" x14ac:dyDescent="0.3">
      <c r="A1" s="28" t="s">
        <v>21</v>
      </c>
    </row>
    <row r="2" spans="1:8" x14ac:dyDescent="0.3">
      <c r="A2" s="28" t="s">
        <v>22</v>
      </c>
    </row>
    <row r="3" spans="1:8" x14ac:dyDescent="0.3">
      <c r="A3" s="28" t="s">
        <v>23</v>
      </c>
    </row>
    <row r="6" spans="1:8" ht="15" thickBot="1" x14ac:dyDescent="0.35">
      <c r="A6" t="s">
        <v>24</v>
      </c>
    </row>
    <row r="7" spans="1:8" x14ac:dyDescent="0.3">
      <c r="B7" s="31"/>
      <c r="C7" s="31"/>
      <c r="D7" s="31" t="s">
        <v>27</v>
      </c>
      <c r="E7" s="31" t="s">
        <v>29</v>
      </c>
      <c r="F7" s="31" t="s">
        <v>18</v>
      </c>
      <c r="G7" s="31" t="s">
        <v>32</v>
      </c>
      <c r="H7" s="31" t="s">
        <v>32</v>
      </c>
    </row>
    <row r="8" spans="1:8" ht="15" thickBot="1" x14ac:dyDescent="0.35">
      <c r="B8" s="32" t="s">
        <v>25</v>
      </c>
      <c r="C8" s="32" t="s">
        <v>26</v>
      </c>
      <c r="D8" s="32" t="s">
        <v>28</v>
      </c>
      <c r="E8" s="32" t="s">
        <v>30</v>
      </c>
      <c r="F8" s="32" t="s">
        <v>31</v>
      </c>
      <c r="G8" s="32" t="s">
        <v>33</v>
      </c>
      <c r="H8" s="32" t="s">
        <v>34</v>
      </c>
    </row>
    <row r="9" spans="1:8" x14ac:dyDescent="0.3">
      <c r="B9" s="29" t="s">
        <v>39</v>
      </c>
      <c r="C9" s="29" t="s">
        <v>40</v>
      </c>
      <c r="D9" s="29">
        <v>0</v>
      </c>
      <c r="E9" s="29">
        <v>-75.800000000000011</v>
      </c>
      <c r="F9" s="29">
        <v>20</v>
      </c>
      <c r="G9" s="29">
        <v>75.800000000000011</v>
      </c>
      <c r="H9" s="29">
        <v>1E+30</v>
      </c>
    </row>
    <row r="10" spans="1:8" x14ac:dyDescent="0.3">
      <c r="B10" s="29" t="s">
        <v>41</v>
      </c>
      <c r="C10" s="29" t="s">
        <v>42</v>
      </c>
      <c r="D10" s="29">
        <v>114.46</v>
      </c>
      <c r="E10" s="29">
        <v>0</v>
      </c>
      <c r="F10" s="29">
        <v>59</v>
      </c>
      <c r="G10" s="29">
        <v>5.0833333333333277</v>
      </c>
      <c r="H10" s="29">
        <v>37</v>
      </c>
    </row>
    <row r="11" spans="1:8" x14ac:dyDescent="0.3">
      <c r="B11" s="29" t="s">
        <v>43</v>
      </c>
      <c r="C11" s="29" t="s">
        <v>44</v>
      </c>
      <c r="D11" s="29">
        <v>111.27333333333333</v>
      </c>
      <c r="E11" s="29">
        <v>0</v>
      </c>
      <c r="F11" s="29">
        <v>63</v>
      </c>
      <c r="G11" s="29">
        <v>37</v>
      </c>
      <c r="H11" s="29">
        <v>8.7142857142857029</v>
      </c>
    </row>
    <row r="12" spans="1:8" ht="15" thickBot="1" x14ac:dyDescent="0.35">
      <c r="B12" s="30" t="s">
        <v>45</v>
      </c>
      <c r="C12" s="30" t="s">
        <v>46</v>
      </c>
      <c r="D12" s="30">
        <v>126.52666666666666</v>
      </c>
      <c r="E12" s="30">
        <v>0</v>
      </c>
      <c r="F12" s="30">
        <v>41</v>
      </c>
      <c r="G12" s="30">
        <v>110.50000000000003</v>
      </c>
      <c r="H12" s="30">
        <v>7.6249999999999956</v>
      </c>
    </row>
    <row r="14" spans="1:8" ht="15" thickBot="1" x14ac:dyDescent="0.35">
      <c r="A14" t="s">
        <v>35</v>
      </c>
    </row>
    <row r="15" spans="1:8" x14ac:dyDescent="0.3">
      <c r="B15" s="31"/>
      <c r="C15" s="31"/>
      <c r="D15" s="31" t="s">
        <v>27</v>
      </c>
      <c r="E15" s="31" t="s">
        <v>36</v>
      </c>
      <c r="F15" s="31" t="s">
        <v>35</v>
      </c>
      <c r="G15" s="31" t="s">
        <v>32</v>
      </c>
      <c r="H15" s="31" t="s">
        <v>32</v>
      </c>
    </row>
    <row r="16" spans="1:8" ht="15" thickBot="1" x14ac:dyDescent="0.35">
      <c r="B16" s="32" t="s">
        <v>25</v>
      </c>
      <c r="C16" s="32" t="s">
        <v>26</v>
      </c>
      <c r="D16" s="32" t="s">
        <v>28</v>
      </c>
      <c r="E16" s="32" t="s">
        <v>37</v>
      </c>
      <c r="F16" s="32" t="s">
        <v>38</v>
      </c>
      <c r="G16" s="32" t="s">
        <v>33</v>
      </c>
      <c r="H16" s="32" t="s">
        <v>34</v>
      </c>
    </row>
    <row r="17" spans="2:8" x14ac:dyDescent="0.3">
      <c r="B17" s="29" t="s">
        <v>47</v>
      </c>
      <c r="C17" s="29" t="s">
        <v>48</v>
      </c>
      <c r="D17" s="29">
        <v>1189</v>
      </c>
      <c r="E17" s="29">
        <v>0.81333333333333258</v>
      </c>
      <c r="F17" s="29">
        <v>1189</v>
      </c>
      <c r="G17" s="29">
        <v>715.375</v>
      </c>
      <c r="H17" s="29">
        <v>369.73529411764713</v>
      </c>
    </row>
    <row r="18" spans="2:8" x14ac:dyDescent="0.3">
      <c r="B18" s="29" t="s">
        <v>49</v>
      </c>
      <c r="C18" s="29" t="s">
        <v>50</v>
      </c>
      <c r="D18" s="29">
        <v>584.36666666666667</v>
      </c>
      <c r="E18" s="29">
        <v>0</v>
      </c>
      <c r="F18" s="29">
        <v>1189</v>
      </c>
      <c r="G18" s="29">
        <v>1E+30</v>
      </c>
      <c r="H18" s="29">
        <v>604.63333333333344</v>
      </c>
    </row>
    <row r="19" spans="2:8" x14ac:dyDescent="0.3">
      <c r="B19" s="29" t="s">
        <v>51</v>
      </c>
      <c r="C19" s="29" t="s">
        <v>52</v>
      </c>
      <c r="D19" s="29">
        <v>1217</v>
      </c>
      <c r="E19" s="29">
        <v>3.7</v>
      </c>
      <c r="F19" s="29">
        <v>1217</v>
      </c>
      <c r="G19" s="29">
        <v>838.06666666666683</v>
      </c>
      <c r="H19" s="29">
        <v>1144.5999999999999</v>
      </c>
    </row>
    <row r="20" spans="2:8" x14ac:dyDescent="0.3">
      <c r="B20" s="29" t="s">
        <v>53</v>
      </c>
      <c r="C20" s="29" t="s">
        <v>54</v>
      </c>
      <c r="D20" s="29">
        <v>915</v>
      </c>
      <c r="E20" s="29">
        <v>14.733333333333334</v>
      </c>
      <c r="F20" s="29">
        <v>915</v>
      </c>
      <c r="G20" s="29">
        <v>157.13750000000005</v>
      </c>
      <c r="H20" s="29">
        <v>572.29999999999995</v>
      </c>
    </row>
    <row r="21" spans="2:8" ht="15" thickBot="1" x14ac:dyDescent="0.35">
      <c r="B21" s="30" t="s">
        <v>55</v>
      </c>
      <c r="C21" s="30" t="s">
        <v>56</v>
      </c>
      <c r="D21" s="30">
        <v>340.19333333333333</v>
      </c>
      <c r="E21" s="30">
        <v>0</v>
      </c>
      <c r="F21" s="30">
        <v>424</v>
      </c>
      <c r="G21" s="30">
        <v>1E+30</v>
      </c>
      <c r="H21" s="30">
        <v>83.806666666666686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zoomScaleNormal="100" workbookViewId="0">
      <selection activeCell="E12" sqref="B12:E12"/>
    </sheetView>
  </sheetViews>
  <sheetFormatPr defaultColWidth="8.6640625" defaultRowHeight="14.4" x14ac:dyDescent="0.3"/>
  <cols>
    <col min="1" max="1" width="30" customWidth="1"/>
    <col min="2" max="5" width="14" customWidth="1"/>
    <col min="6" max="6" width="10" customWidth="1"/>
  </cols>
  <sheetData>
    <row r="1" spans="1:6" x14ac:dyDescent="0.3">
      <c r="A1" s="17" t="s">
        <v>16</v>
      </c>
    </row>
    <row r="2" spans="1:6" x14ac:dyDescent="0.3">
      <c r="A2" s="11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</row>
    <row r="3" spans="1:6" x14ac:dyDescent="0.3">
      <c r="A3" s="19" t="s">
        <v>6</v>
      </c>
      <c r="B3" s="3">
        <v>0</v>
      </c>
      <c r="C3" s="3">
        <v>0</v>
      </c>
      <c r="D3" s="3">
        <v>5</v>
      </c>
      <c r="E3" s="3">
        <v>5</v>
      </c>
      <c r="F3" s="3">
        <v>1189</v>
      </c>
    </row>
    <row r="4" spans="1:6" x14ac:dyDescent="0.3">
      <c r="A4" s="20" t="s">
        <v>7</v>
      </c>
      <c r="B4" s="3">
        <v>4</v>
      </c>
      <c r="C4" s="3">
        <v>4</v>
      </c>
      <c r="D4" s="3">
        <v>0</v>
      </c>
      <c r="E4" s="3">
        <v>1</v>
      </c>
      <c r="F4" s="3">
        <v>1189</v>
      </c>
    </row>
    <row r="5" spans="1:6" x14ac:dyDescent="0.3">
      <c r="A5" s="18" t="s">
        <v>8</v>
      </c>
      <c r="B5" s="6">
        <v>2</v>
      </c>
      <c r="C5" s="6">
        <v>4</v>
      </c>
      <c r="D5" s="6">
        <v>0</v>
      </c>
      <c r="E5" s="6">
        <v>6</v>
      </c>
      <c r="F5" s="6">
        <v>1217</v>
      </c>
    </row>
    <row r="6" spans="1:6" x14ac:dyDescent="0.3">
      <c r="A6" s="18" t="s">
        <v>9</v>
      </c>
      <c r="B6" s="3">
        <v>6</v>
      </c>
      <c r="C6" s="3">
        <v>3</v>
      </c>
      <c r="D6" s="3">
        <v>4</v>
      </c>
      <c r="E6" s="3">
        <v>1</v>
      </c>
      <c r="F6" s="3">
        <v>915</v>
      </c>
    </row>
    <row r="7" spans="1:6" x14ac:dyDescent="0.3">
      <c r="A7" s="18" t="s">
        <v>10</v>
      </c>
      <c r="B7" s="3">
        <v>2</v>
      </c>
      <c r="C7" s="3">
        <v>2</v>
      </c>
      <c r="D7" s="3">
        <v>1</v>
      </c>
      <c r="E7" s="3">
        <v>0</v>
      </c>
      <c r="F7" s="4">
        <v>424</v>
      </c>
    </row>
    <row r="8" spans="1:6" x14ac:dyDescent="0.3">
      <c r="A8" s="18" t="s">
        <v>11</v>
      </c>
      <c r="B8" s="3">
        <v>20</v>
      </c>
      <c r="C8" s="3">
        <v>59</v>
      </c>
      <c r="D8" s="3">
        <v>63</v>
      </c>
      <c r="E8" s="3">
        <v>41</v>
      </c>
      <c r="F8" s="13"/>
    </row>
    <row r="9" spans="1:6" x14ac:dyDescent="0.3">
      <c r="A9" s="14"/>
      <c r="B9" s="7"/>
      <c r="C9" s="7"/>
      <c r="D9" s="7"/>
      <c r="E9" s="7"/>
    </row>
    <row r="10" spans="1:6" x14ac:dyDescent="0.3">
      <c r="A10" s="21" t="s">
        <v>17</v>
      </c>
      <c r="B10" s="14"/>
      <c r="C10" s="14"/>
      <c r="D10" s="14"/>
      <c r="E10" s="14"/>
    </row>
    <row r="11" spans="1:6" x14ac:dyDescent="0.3">
      <c r="A11" s="20" t="s">
        <v>19</v>
      </c>
      <c r="B11" s="22" t="s">
        <v>1</v>
      </c>
      <c r="C11" s="22" t="s">
        <v>2</v>
      </c>
      <c r="D11" s="22" t="s">
        <v>3</v>
      </c>
      <c r="E11" s="22" t="s">
        <v>4</v>
      </c>
    </row>
    <row r="12" spans="1:6" x14ac:dyDescent="0.3">
      <c r="A12" s="20" t="s">
        <v>12</v>
      </c>
      <c r="B12" s="3">
        <v>0</v>
      </c>
      <c r="C12" s="3">
        <v>114.46</v>
      </c>
      <c r="D12" s="3">
        <v>111.27333333333333</v>
      </c>
      <c r="E12" s="4">
        <v>126.52666666666666</v>
      </c>
    </row>
    <row r="13" spans="1:6" x14ac:dyDescent="0.3">
      <c r="A13" s="7"/>
      <c r="B13" s="7"/>
      <c r="C13" s="14"/>
      <c r="D13" s="7"/>
    </row>
    <row r="14" spans="1:6" x14ac:dyDescent="0.3">
      <c r="A14" s="21" t="s">
        <v>20</v>
      </c>
      <c r="B14" s="14"/>
      <c r="C14" s="14"/>
      <c r="D14" s="14"/>
    </row>
    <row r="15" spans="1:6" x14ac:dyDescent="0.3">
      <c r="A15" s="23" t="s">
        <v>0</v>
      </c>
      <c r="B15" s="23" t="s">
        <v>13</v>
      </c>
      <c r="C15" s="23" t="s">
        <v>5</v>
      </c>
      <c r="D15" s="23" t="s">
        <v>14</v>
      </c>
    </row>
    <row r="16" spans="1:6" x14ac:dyDescent="0.3">
      <c r="A16" s="20" t="s">
        <v>6</v>
      </c>
      <c r="B16" s="8">
        <f>SUMPRODUCT(B3:E3,B12:E12)</f>
        <v>1189</v>
      </c>
      <c r="C16" s="8">
        <f>F3</f>
        <v>1189</v>
      </c>
      <c r="D16" s="8">
        <f>C16-B16</f>
        <v>0</v>
      </c>
    </row>
    <row r="17" spans="1:4" x14ac:dyDescent="0.3">
      <c r="A17" s="20" t="s">
        <v>7</v>
      </c>
      <c r="B17" s="8">
        <f>SUMPRODUCT(B4:E4,B12:E12)</f>
        <v>584.36666666666667</v>
      </c>
      <c r="C17" s="8">
        <f>F4</f>
        <v>1189</v>
      </c>
      <c r="D17" s="8">
        <f t="shared" ref="D17:D20" si="0">C17-B17</f>
        <v>604.63333333333333</v>
      </c>
    </row>
    <row r="18" spans="1:4" x14ac:dyDescent="0.3">
      <c r="A18" s="25" t="s">
        <v>8</v>
      </c>
      <c r="B18" s="8">
        <f>SUMPRODUCT(B5:E5,B12:E12)</f>
        <v>1217</v>
      </c>
      <c r="C18" s="9">
        <f>F5</f>
        <v>1217</v>
      </c>
      <c r="D18" s="8">
        <f t="shared" si="0"/>
        <v>0</v>
      </c>
    </row>
    <row r="19" spans="1:4" x14ac:dyDescent="0.3">
      <c r="A19" s="20" t="s">
        <v>9</v>
      </c>
      <c r="B19" s="8">
        <f>SUMPRODUCT(B6:E6,B12:E12)</f>
        <v>915</v>
      </c>
      <c r="C19" s="8">
        <f>F6</f>
        <v>915</v>
      </c>
      <c r="D19" s="8">
        <f t="shared" si="0"/>
        <v>0</v>
      </c>
    </row>
    <row r="20" spans="1:4" x14ac:dyDescent="0.3">
      <c r="A20" s="20" t="s">
        <v>10</v>
      </c>
      <c r="B20" s="8">
        <f>SUMPRODUCT(B7:E7,B12:E12)</f>
        <v>340.19333333333333</v>
      </c>
      <c r="C20" s="8">
        <f>F7</f>
        <v>424</v>
      </c>
      <c r="D20" s="8">
        <f t="shared" si="0"/>
        <v>83.806666666666672</v>
      </c>
    </row>
    <row r="21" spans="1:4" x14ac:dyDescent="0.3">
      <c r="A21" s="15"/>
      <c r="B21" s="24"/>
      <c r="C21" s="24"/>
      <c r="D21" s="24"/>
    </row>
    <row r="22" spans="1:4" x14ac:dyDescent="0.3">
      <c r="A22" s="21" t="s">
        <v>18</v>
      </c>
      <c r="B22" s="12"/>
      <c r="C22" s="12"/>
      <c r="D22" s="12"/>
    </row>
    <row r="23" spans="1:4" x14ac:dyDescent="0.3">
      <c r="A23" s="20" t="s">
        <v>15</v>
      </c>
      <c r="B23" s="27">
        <f>SUMPRODUCT(B8:E8,B12:E12)</f>
        <v>18950.953333333331</v>
      </c>
      <c r="C23" s="13"/>
      <c r="D23" s="12"/>
    </row>
    <row r="24" spans="1:4" x14ac:dyDescent="0.3">
      <c r="A24" s="10"/>
      <c r="B24" s="26"/>
    </row>
    <row r="25" spans="1:4" x14ac:dyDescent="0.3">
      <c r="A25" s="1"/>
    </row>
    <row r="26" spans="1:4" x14ac:dyDescent="0.3">
      <c r="A26" s="16"/>
    </row>
    <row r="27" spans="1:4" x14ac:dyDescent="0.3">
      <c r="A27" s="16"/>
    </row>
    <row r="28" spans="1:4" x14ac:dyDescent="0.3">
      <c r="A28" s="16"/>
    </row>
    <row r="29" spans="1:4" x14ac:dyDescent="0.3">
      <c r="A29" s="2"/>
    </row>
    <row r="30" spans="1:4" x14ac:dyDescent="0.3">
      <c r="A30" s="2"/>
    </row>
    <row r="31" spans="1:4" x14ac:dyDescent="0.3">
      <c r="A31" s="2"/>
    </row>
    <row r="32" spans="1:4" x14ac:dyDescent="0.3">
      <c r="A32" s="2"/>
    </row>
  </sheetData>
  <scenarios current="0">
    <scenario name="Симплекс" count="4" user="User" comment="Автор: User , 9/22/2026">
      <inputCells r="B12" val="0"/>
      <inputCells r="C12" val="0"/>
      <inputCells r="D12" val="0"/>
      <inputCells r="E12" val="0"/>
    </scenario>
  </scenario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Звіт про стійкість 1</vt:lpstr>
      <vt:lpstr>Модель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2026-09-21T19:57:42Z</dcterms:created>
  <dcterms:modified xsi:type="dcterms:W3CDTF">2026-09-22T20:38:02Z</dcterms:modified>
  <dc:language>en-US</dc:language>
</cp:coreProperties>
</file>